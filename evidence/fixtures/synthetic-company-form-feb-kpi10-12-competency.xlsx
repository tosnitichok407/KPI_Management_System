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d" sheetId="1" r:id="rId4"/>
    <sheet name="KPI AM" sheetId="2" r:id="rId5"/>
    <sheet name="แผนการตรวจเยี่ยม" sheetId="3" r:id="rId6"/>
    <sheet name="สรุปทั้งปี69" sheetId="4" r:id="rId7"/>
    <sheet name="ม.ค.69" sheetId="5" r:id="rId8"/>
    <sheet name="ก.พ.69" sheetId="6" r:id="rId9"/>
    <sheet name="มี.ค.69" sheetId="7" r:id="rId10"/>
    <sheet name="เม.ษ.69" sheetId="8" r:id="rId11"/>
    <sheet name="พ.ค.69" sheetId="9" r:id="rId12"/>
    <sheet name="มิ.ย.69" sheetId="10" r:id="rId13"/>
    <sheet name="ก.ค.69" sheetId="11" r:id="rId14"/>
    <sheet name="ส.ค.69 " sheetId="12" r:id="rId15"/>
    <sheet name="ก.ย.69" sheetId="13" r:id="rId16"/>
    <sheet name="ต.ค.69" sheetId="14" r:id="rId17"/>
    <sheet name="พ.ย.69" sheetId="15" r:id="rId18"/>
    <sheet name="ธ.ค.69" sheetId="16" r:id="rId19"/>
    <sheet name="Port26" sheetId="17" r:id="rId20"/>
    <sheet name="TOP20" sheetId="18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<sst xmlns="http://schemas.openxmlformats.org/spreadsheetml/2006/main" uniqueCount="69">
  <si>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บริษัทสมมติ จำกัด</t>
  </si>
  <si>
    <t>ตำแหน่ง</t>
  </si>
  <si>
    <t>ฝ่าย/แผนก</t>
  </si>
  <si>
    <t>รหัสพนักงาน</t>
  </si>
  <si>
    <t>ชื่อ นามสกุล</t>
  </si>
  <si>
    <t>ตำแหน่งสมมติ</t>
  </si>
  <si>
    <t>แผนกสมมติ</t>
  </si>
  <si>
    <t>SYN-E01</t>
  </si>
  <si>
    <t>ทดสอบ พนักงานหนึ่ง</t>
  </si>
  <si>
    <t>ส่วนที่ 1 : การประเมินผลงานที่สามารถวัดเป็นตัวเลขได้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</si>
  <si>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</si>
  <si>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</si>
  <si>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</si>
  <si>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</si>
  <si>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</si>
  <si>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</si>
  <si>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</si>
  <si>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</si>
  <si>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</si>
  <si>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</si>
  <si>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</si>
  <si>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</si>
  <si>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หัวข้อการประเมินผลงาน</t>
  </si>
  <si>
    <t>น้ำหนัก(1)</t>
  </si>
  <si>
    <t>ที่ทำได้</t>
  </si>
  <si>
    <t>1.บรรลุเป้าหมายการต่อสัญญา</t>
  </si>
  <si>
    <t>2. จำนวนรายการปรับเพิ่มมูลค่าสัญญา</t>
  </si>
  <si>
    <t>3. มูลค่าไม่ต่อสัญญา</t>
  </si>
  <si>
    <t xml:space="preserve">4.ขายเพิ่มผลิตภัณฑ์และบริการในลูกค้าเดิม </t>
  </si>
  <si>
    <t>5.เข้าเยี่ยมลูกค้าตามKPIที่บริษัทกำหนด</t>
  </si>
  <si>
    <t>6.อัตราคงค้างสัญญาตัวจริงนำกลับ</t>
  </si>
  <si>
    <t>รวมคะแนนส่วนที่ 1</t>
  </si>
  <si>
    <t>ส่วนที่ 2 : พฤติกรรมในการทำงาน</t>
  </si>
  <si>
    <t>หัวข้อประมิน</t>
  </si>
  <si>
    <t>1.ความรู้เชิงชีวของแมลงและการใช้สารเคมีอย่างถูกต้อง</t>
  </si>
  <si>
    <t>2.ความรู้ด้านสินค้าและผลิตภัณฑ์</t>
  </si>
  <si>
    <t>3.ทักษะด้านการสื่อสาร</t>
  </si>
  <si>
    <t>4.บริหารจัดการด้านข้อมูลและคอมพิวเตอร์</t>
  </si>
  <si>
    <t>5.บุคลิกภาพที่ดี</t>
  </si>
  <si>
    <t>รวมคะแนนส่วนที่ 2</t>
  </si>
  <si>
    <t>เดือน</t>
  </si>
  <si>
    <t>Budget</t>
  </si>
  <si>
    <t>Portfolio(มูลค่า)</t>
  </si>
  <si>
    <t>R</t>
  </si>
  <si>
    <t>Renew</t>
  </si>
  <si>
    <t xml:space="preserve">Total R </t>
  </si>
  <si>
    <t>New</t>
  </si>
  <si>
    <t>Total N</t>
  </si>
  <si>
    <t>%</t>
  </si>
  <si>
    <t>Renew 1Y</t>
  </si>
  <si>
    <t>Renew 2Y</t>
  </si>
  <si>
    <t>Renew Bait 3Y</t>
  </si>
  <si>
    <t>New 1Y</t>
  </si>
  <si>
    <t>New 2Y</t>
  </si>
  <si>
    <t>New Bait 3Y</t>
  </si>
  <si>
    <t>Portfolio(จำนวนราย)</t>
  </si>
  <si>
    <t>เลขที่สัญญา</t>
  </si>
  <si>
    <t>ราคาเดิม</t>
  </si>
  <si>
    <t>Renew ในเดือน</t>
  </si>
  <si>
    <t>Budget Renew</t>
  </si>
  <si>
    <t>GP%</t>
  </si>
  <si>
    <t>ราคาใหม่</t>
  </si>
  <si>
    <t>ราคาสรุป</t>
  </si>
  <si>
    <t>ผลต่าง</t>
  </si>
  <si>
    <t>ContractNo</t>
  </si>
  <si>
    <t>SaleType</t>
  </si>
  <si>
    <t>SalesmanCode</t>
  </si>
  <si>
    <t>Price</t>
  </si>
  <si>
    <t>SYN-S1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</si>
</sst>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R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4">
      <c r="A1" t="s">
        <v>0</v>
      </c>
    </row>
    <row r="5" spans="1:44">
      <c r="A5" t="s">
        <v>1</v>
      </c>
      <c r="B5" t="s">
        <v>2</v>
      </c>
      <c r="C5" t="s">
        <v>3</v>
      </c>
      <c r="D5" t="s">
        <v>4</v>
      </c>
    </row>
    <row r="6" spans="1:44">
      <c r="A6" t="s">
        <v>5</v>
      </c>
      <c r="B6" t="s">
        <v>6</v>
      </c>
      <c r="C6" t="s">
        <v>7</v>
      </c>
      <c r="D6" t="s">
        <v>8</v>
      </c>
    </row>
    <row r="8" spans="1:44">
      <c r="A8" t="s">
        <v>9</v>
      </c>
    </row>
    <row r="9" spans="1:44">
      <c r="K9" t="s">
        <v>10</v>
      </c>
      <c r="N9" t="s">
        <v>11</v>
      </c>
      <c r="Q9" t="s">
        <v>12</v>
      </c>
      <c r="T9" t="s">
        <v>13</v>
      </c>
      <c r="W9" t="s">
        <v>14</v>
      </c>
      <c r="Z9" t="s">
        <v>15</v>
      </c>
      <c r="AC9" t="s">
        <v>16</v>
      </c>
      <c r="AF9" t="s">
        <v>17</v>
      </c>
      <c r="AI9" t="s">
        <v>18</v>
      </c>
      <c r="AL9" t="s">
        <v>19</v>
      </c>
      <c r="AO9" t="s">
        <v>20</v>
      </c>
      <c r="AR9" t="s">
        <v>21</v>
      </c>
    </row>
    <row r="10" spans="1:44">
      <c r="A10" t="s">
        <v>22</v>
      </c>
      <c r="D10" t="s">
        <v>23</v>
      </c>
      <c r="K10" t="s">
        <v>24</v>
      </c>
      <c r="N10" t="s">
        <v>24</v>
      </c>
      <c r="Q10" t="s">
        <v>24</v>
      </c>
      <c r="T10" t="s">
        <v>24</v>
      </c>
      <c r="W10" t="s">
        <v>24</v>
      </c>
      <c r="Z10" t="s">
        <v>24</v>
      </c>
      <c r="AC10" t="s">
        <v>24</v>
      </c>
      <c r="AF10" t="s">
        <v>24</v>
      </c>
      <c r="AI10" t="s">
        <v>24</v>
      </c>
      <c r="AL10" t="s">
        <v>24</v>
      </c>
      <c r="AO10" t="s">
        <v>24</v>
      </c>
      <c r="AR10" t="s">
        <v>24</v>
      </c>
    </row>
    <row r="12" spans="1:44">
      <c r="A12" t="s">
        <v>25</v>
      </c>
      <c r="D12">
        <v>30</v>
      </c>
      <c r="K12">
        <f>สรุปทั้งปี69!Q5</f>
        <v>0.95</v>
      </c>
      <c r="N12">
        <v>0.5</v>
      </c>
    </row>
    <row r="13" spans="1:44">
      <c r="A13" t="s">
        <v>26</v>
      </c>
      <c r="D13">
        <v>5</v>
      </c>
      <c r="K13">
        <f>'ม.ค.69'!S42</f>
        <v>0.2075</v>
      </c>
      <c r="N13">
        <v>0.5</v>
      </c>
    </row>
    <row r="14" spans="1:44">
      <c r="A14" t="s">
        <v>27</v>
      </c>
      <c r="D14">
        <v>20</v>
      </c>
    </row>
    <row r="15" spans="1:44">
      <c r="A15" t="s">
        <v>28</v>
      </c>
      <c r="D15">
        <v>10</v>
      </c>
      <c r="N15">
        <v>0.875</v>
      </c>
    </row>
    <row r="16" spans="1:44">
      <c r="A16" t="s">
        <v>29</v>
      </c>
      <c r="D16">
        <v>5</v>
      </c>
      <c r="N16">
        <v>1</v>
      </c>
    </row>
    <row r="17" spans="1:44">
      <c r="A17" t="s">
        <v>30</v>
      </c>
      <c r="D17">
        <v>10</v>
      </c>
      <c r="N17">
        <v>0.95</v>
      </c>
    </row>
    <row r="18" spans="1:44">
      <c r="A18" t="s">
        <v>31</v>
      </c>
      <c r="D18">
        <f>SUM(D12:D17)</f>
        <v>80</v>
      </c>
    </row>
    <row r="20" spans="1:44">
      <c r="A20" t="s">
        <v>32</v>
      </c>
      <c r="K20" t="s">
        <v>10</v>
      </c>
      <c r="N20" t="s">
        <v>11</v>
      </c>
      <c r="Q20" t="s">
        <v>12</v>
      </c>
      <c r="T20" t="s">
        <v>13</v>
      </c>
      <c r="W20" t="s">
        <v>14</v>
      </c>
      <c r="Z20" t="s">
        <v>15</v>
      </c>
      <c r="AC20" t="s">
        <v>16</v>
      </c>
      <c r="AF20" t="s">
        <v>17</v>
      </c>
      <c r="AI20" t="s">
        <v>18</v>
      </c>
      <c r="AL20" t="s">
        <v>19</v>
      </c>
      <c r="AO20" t="s">
        <v>20</v>
      </c>
      <c r="AR20" t="s">
        <v>21</v>
      </c>
    </row>
    <row r="22" spans="1:44">
      <c r="A22" t="s">
        <v>33</v>
      </c>
      <c r="D22" t="s">
        <v>23</v>
      </c>
      <c r="K22" t="s">
        <v>24</v>
      </c>
      <c r="N22" t="s">
        <v>24</v>
      </c>
      <c r="Q22" t="s">
        <v>24</v>
      </c>
      <c r="T22" t="s">
        <v>24</v>
      </c>
      <c r="W22" t="s">
        <v>24</v>
      </c>
      <c r="Z22" t="s">
        <v>24</v>
      </c>
      <c r="AC22" t="s">
        <v>24</v>
      </c>
      <c r="AF22" t="s">
        <v>24</v>
      </c>
      <c r="AI22" t="s">
        <v>24</v>
      </c>
      <c r="AL22" t="s">
        <v>24</v>
      </c>
      <c r="AO22" t="s">
        <v>24</v>
      </c>
      <c r="AR22" t="s">
        <v>24</v>
      </c>
    </row>
    <row r="24" spans="1:44">
      <c r="A24" t="s">
        <v>34</v>
      </c>
      <c r="D24">
        <v>4</v>
      </c>
      <c r="N24">
        <v>4</v>
      </c>
    </row>
    <row r="25" spans="1:44">
      <c r="A25" t="s">
        <v>35</v>
      </c>
      <c r="D25">
        <v>4</v>
      </c>
      <c r="N25">
        <v>5</v>
      </c>
    </row>
    <row r="26" spans="1:44">
      <c r="A26" t="s">
        <v>36</v>
      </c>
      <c r="D26">
        <v>4</v>
      </c>
      <c r="N26">
        <v>3</v>
      </c>
    </row>
    <row r="27" spans="1:44">
      <c r="A27" t="s">
        <v>37</v>
      </c>
      <c r="D27">
        <v>4</v>
      </c>
      <c r="N27">
        <v>4</v>
      </c>
    </row>
    <row r="28" spans="1:44">
      <c r="A28" t="s">
        <v>38</v>
      </c>
      <c r="D28">
        <v>4</v>
      </c>
      <c r="N28">
        <v>5</v>
      </c>
    </row>
    <row r="29" spans="1:44">
      <c r="A29" t="s">
        <v>39</v>
      </c>
      <c r="D29">
        <f>SUM(D24:D28)</f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7">
      <c r="B2" t="s">
        <v>40</v>
      </c>
      <c r="C2" t="s">
        <v>41</v>
      </c>
      <c r="D2" t="s">
        <v>42</v>
      </c>
      <c r="Q2" t="s">
        <v>43</v>
      </c>
    </row>
    <row r="3" spans="1:17">
      <c r="D3" t="s">
        <v>44</v>
      </c>
      <c r="G3" t="s">
        <v>45</v>
      </c>
      <c r="H3" t="s">
        <v>41</v>
      </c>
      <c r="I3" t="s">
        <v>46</v>
      </c>
      <c r="L3" t="s">
        <v>47</v>
      </c>
      <c r="Q3" t="s">
        <v>48</v>
      </c>
    </row>
    <row r="4" spans="1:17">
      <c r="D4" t="s">
        <v>49</v>
      </c>
      <c r="E4" t="s">
        <v>50</v>
      </c>
      <c r="F4" t="s">
        <v>51</v>
      </c>
      <c r="I4" t="s">
        <v>52</v>
      </c>
      <c r="J4" t="s">
        <v>53</v>
      </c>
      <c r="K4" t="s">
        <v>54</v>
      </c>
    </row>
    <row r="5" spans="1:17">
      <c r="B5" t="s">
        <v>10</v>
      </c>
      <c r="C5">
        <f>'ม.ค.69'!O41</f>
        <v>500000</v>
      </c>
      <c r="D5">
        <f>'ม.ค.69'!D78</f>
        <v>300000</v>
      </c>
      <c r="E5">
        <f>'ม.ค.69'!D79</f>
        <v>150000</v>
      </c>
      <c r="F5">
        <f>'ม.ค.69'!D80</f>
        <v>25000</v>
      </c>
      <c r="G5">
        <f>SUM(D5:F5)</f>
        <v>475000</v>
      </c>
      <c r="I5">
        <v>77777</v>
      </c>
      <c r="L5">
        <f>SUM(I5:K5)</f>
        <v>77777</v>
      </c>
      <c r="Q5">
        <f>G5/C5</f>
        <v>0.95</v>
      </c>
    </row>
    <row r="6" spans="1:17">
      <c r="B6" t="s">
        <v>11</v>
      </c>
      <c r="C6">
        <f>'ก.พ.69'!O41</f>
        <v>200000</v>
      </c>
      <c r="D6">
        <f>'ก.พ.69'!D78</f>
        <v>99990</v>
      </c>
      <c r="E6">
        <f>'ก.พ.69'!D79</f>
        <v>100000</v>
      </c>
      <c r="F6">
        <f>'ก.พ.69'!D80</f>
        <v>0</v>
      </c>
      <c r="G6">
        <f>SUM(D6:F6)</f>
        <v>199990</v>
      </c>
      <c r="I6">
        <v>77777</v>
      </c>
      <c r="L6">
        <f>SUM(I6:K6)</f>
        <v>77777</v>
      </c>
      <c r="Q6">
        <f>G6/C6</f>
        <v>0.99995</v>
      </c>
    </row>
    <row r="7" spans="1:17">
      <c r="B7" t="s">
        <v>12</v>
      </c>
      <c r="C7">
        <f>'มี.ค.69'!O41</f>
        <v>100000</v>
      </c>
      <c r="D7">
        <f>'มี.ค.69'!D78</f>
        <v>60000</v>
      </c>
      <c r="E7">
        <f>'มี.ค.69'!D79</f>
        <v>40000</v>
      </c>
      <c r="F7">
        <f>'มี.ค.69'!D80</f>
        <v>0</v>
      </c>
      <c r="G7">
        <f>SUM(D7:F7)</f>
        <v>100000</v>
      </c>
      <c r="I7">
        <v>77777</v>
      </c>
      <c r="L7">
        <f>SUM(I7:K7)</f>
        <v>77777</v>
      </c>
      <c r="Q7">
        <f>G7/C7</f>
        <v>1</v>
      </c>
    </row>
    <row r="8" spans="1:17">
      <c r="B8" t="s">
        <v>13</v>
      </c>
      <c r="C8">
        <f>'เม.ษ.69'!O41</f>
        <v>300000</v>
      </c>
      <c r="D8">
        <f>'เม.ษ.69'!D78</f>
        <v>200000</v>
      </c>
      <c r="E8">
        <f>'เม.ษ.69'!D79</f>
        <v>100000</v>
      </c>
      <c r="F8">
        <f>'เม.ษ.69'!D80</f>
        <v>30000</v>
      </c>
      <c r="G8">
        <f>SUM(D8:F8)</f>
        <v>330000</v>
      </c>
      <c r="I8">
        <v>77777</v>
      </c>
      <c r="L8">
        <f>SUM(I8:K8)</f>
        <v>77777</v>
      </c>
      <c r="Q8">
        <f>G8/C8</f>
        <v>1.1</v>
      </c>
    </row>
    <row r="9" spans="1:17">
      <c r="B9" t="s">
        <v>14</v>
      </c>
      <c r="C9">
        <f>'พ.ค.69'!O41</f>
        <v>400000</v>
      </c>
      <c r="D9">
        <f>'พ.ค.69'!D78</f>
        <v>300000</v>
      </c>
      <c r="E9">
        <f>'พ.ค.69'!D79</f>
        <v>40000</v>
      </c>
      <c r="F9">
        <f>'พ.ค.69'!D80</f>
        <v>0</v>
      </c>
      <c r="G9">
        <f>SUM(D9:F9)</f>
        <v>340000</v>
      </c>
      <c r="I9">
        <v>77777</v>
      </c>
      <c r="L9">
        <f>SUM(I9:K9)</f>
        <v>77777</v>
      </c>
      <c r="Q9">
        <f>G9/C9</f>
        <v>0.85</v>
      </c>
    </row>
    <row r="10" spans="1:17">
      <c r="B10" t="s">
        <v>15</v>
      </c>
      <c r="C10">
        <f>'มิ.ย.69'!O40</f>
        <v>250000</v>
      </c>
      <c r="D10">
        <f>'มิ.ย.69'!D77</f>
        <v>50000</v>
      </c>
      <c r="E10">
        <f>'มิ.ย.69'!D78</f>
        <v>50000</v>
      </c>
      <c r="F10">
        <f>'มิ.ย.69'!D79</f>
        <v>0</v>
      </c>
      <c r="G10">
        <f>SUM(D10:F10)</f>
        <v>100000</v>
      </c>
      <c r="I10">
        <v>77777</v>
      </c>
      <c r="L10">
        <f>SUM(I10:K10)</f>
        <v>77777</v>
      </c>
      <c r="Q10">
        <f>G10/C10</f>
        <v>0.4</v>
      </c>
    </row>
    <row r="11" spans="1:17">
      <c r="B11" t="s">
        <v>16</v>
      </c>
      <c r="C11">
        <f>'ก.ค.69'!O41</f>
        <v>100000</v>
      </c>
      <c r="D11">
        <f>'ก.ค.69'!D78</f>
        <v>0</v>
      </c>
      <c r="E11">
        <f>'ก.ค.69'!D79</f>
        <v>0</v>
      </c>
      <c r="F11">
        <f>'ก.ค.69'!D80</f>
        <v>0</v>
      </c>
      <c r="G11">
        <f>SUM(D11:F11)</f>
        <v>0</v>
      </c>
      <c r="I11">
        <v>77777</v>
      </c>
      <c r="L11">
        <f>SUM(I11:K11)</f>
        <v>77777</v>
      </c>
      <c r="Q11">
        <f>G11/C11</f>
        <v>0</v>
      </c>
    </row>
    <row r="12" spans="1:17">
      <c r="B12" t="s">
        <v>17</v>
      </c>
      <c r="C12">
        <f>'ส.ค.69 '!O41</f>
        <v>0</v>
      </c>
      <c r="D12">
        <f>'ส.ค.69 '!D78</f>
        <v>0</v>
      </c>
      <c r="E12">
        <f>'ส.ค.69 '!D79</f>
        <v>0</v>
      </c>
      <c r="F12">
        <f>'ส.ค.69 '!D80</f>
        <v>0</v>
      </c>
      <c r="G12">
        <f>SUM(D12:F12)</f>
        <v>0</v>
      </c>
      <c r="I12">
        <v>0</v>
      </c>
      <c r="L12">
        <f>SUM(I12:K12)</f>
        <v>0</v>
      </c>
      <c r="Q12" t="e">
        <f>G12/C12</f>
        <v>#DIV/0!</v>
      </c>
    </row>
    <row r="13" spans="1:17">
      <c r="B13" t="s">
        <v>18</v>
      </c>
      <c r="C13">
        <f>'ก.ย.69'!O41</f>
        <v>0</v>
      </c>
      <c r="D13">
        <f>'ก.ย.69'!D78</f>
        <v>0</v>
      </c>
      <c r="E13">
        <f>'ก.ย.69'!D79</f>
        <v>0</v>
      </c>
      <c r="F13">
        <f>'ก.ย.69'!D80</f>
        <v>0</v>
      </c>
      <c r="G13">
        <f>SUM(D13:F13)</f>
        <v>0</v>
      </c>
      <c r="I13">
        <v>0</v>
      </c>
      <c r="L13">
        <f>SUM(I13:K13)</f>
        <v>0</v>
      </c>
      <c r="Q13" t="e">
        <f>G13/C13</f>
        <v>#DIV/0!</v>
      </c>
    </row>
    <row r="14" spans="1:17">
      <c r="B14" t="s">
        <v>19</v>
      </c>
      <c r="C14">
        <f>'ต.ค.69'!O41</f>
        <v>0</v>
      </c>
      <c r="D14">
        <f>'ต.ค.69'!D78</f>
        <v>0</v>
      </c>
      <c r="E14">
        <f>'ต.ค.69'!D79</f>
        <v>0</v>
      </c>
      <c r="F14">
        <f>'ต.ค.69'!D80</f>
        <v>0</v>
      </c>
      <c r="G14">
        <f>SUM(D14:F14)</f>
        <v>0</v>
      </c>
      <c r="I14">
        <v>0</v>
      </c>
      <c r="L14">
        <f>SUM(I14:K14)</f>
        <v>0</v>
      </c>
      <c r="Q14" t="e">
        <f>G14/C14</f>
        <v>#DIV/0!</v>
      </c>
    </row>
    <row r="15" spans="1:17">
      <c r="B15" t="s">
        <v>20</v>
      </c>
      <c r="C15">
        <f>'พ.ย.69'!O41</f>
        <v>0</v>
      </c>
      <c r="D15">
        <f>'พ.ย.69'!D78</f>
        <v>0</v>
      </c>
      <c r="E15">
        <f>'พ.ย.69'!D79</f>
        <v>0</v>
      </c>
      <c r="F15">
        <f>'พ.ย.69'!D80</f>
        <v>0</v>
      </c>
      <c r="G15">
        <f>SUM(D15:F15)</f>
        <v>0</v>
      </c>
      <c r="I15">
        <v>0</v>
      </c>
      <c r="L15">
        <f>SUM(I15:K15)</f>
        <v>0</v>
      </c>
      <c r="Q15" t="e">
        <f>G15/C15</f>
        <v>#DIV/0!</v>
      </c>
    </row>
    <row r="16" spans="1:17">
      <c r="B16" t="s">
        <v>21</v>
      </c>
      <c r="C16">
        <f>'ธ.ค.69'!O41</f>
        <v>0</v>
      </c>
      <c r="D16">
        <f>'ธ.ค.69'!D78</f>
        <v>0</v>
      </c>
      <c r="E16">
        <f>'ธ.ค.69'!D79</f>
        <v>0</v>
      </c>
      <c r="F16">
        <f>'ธ.ค.69'!D80</f>
        <v>0</v>
      </c>
      <c r="G16">
        <f>SUM(D16:F16)</f>
        <v>0</v>
      </c>
      <c r="I16">
        <v>0</v>
      </c>
      <c r="L16">
        <f>SUM(I16:K16)</f>
        <v>0</v>
      </c>
      <c r="Q16" t="e">
        <f>G16/C16</f>
        <v>#DIV/0!</v>
      </c>
    </row>
    <row r="20" spans="1:17">
      <c r="B20" t="s">
        <v>40</v>
      </c>
      <c r="C20" t="s">
        <v>41</v>
      </c>
      <c r="D20" t="s">
        <v>55</v>
      </c>
      <c r="Q20" t="s">
        <v>43</v>
      </c>
    </row>
    <row r="21" spans="1:17">
      <c r="D21" t="s">
        <v>44</v>
      </c>
      <c r="G21" t="s">
        <v>45</v>
      </c>
      <c r="Q21" t="s">
        <v>48</v>
      </c>
    </row>
    <row r="22" spans="1:17">
      <c r="D22" t="s">
        <v>49</v>
      </c>
      <c r="E22" t="s">
        <v>50</v>
      </c>
      <c r="F22" t="s">
        <v>51</v>
      </c>
    </row>
    <row r="23" spans="1:17">
      <c r="B23" t="s">
        <v>10</v>
      </c>
      <c r="C23">
        <v>5</v>
      </c>
      <c r="D23">
        <v>4</v>
      </c>
      <c r="G23">
        <f>SUM(D23:F23)</f>
        <v>4</v>
      </c>
      <c r="Q23">
        <f>G23/C23</f>
        <v>0.8</v>
      </c>
    </row>
    <row r="24" spans="1:17">
      <c r="B24" t="s">
        <v>11</v>
      </c>
      <c r="C24">
        <v>5</v>
      </c>
      <c r="D24">
        <v>4</v>
      </c>
      <c r="G24">
        <f>SUM(D24:F24)</f>
        <v>4</v>
      </c>
      <c r="Q24">
        <f>G24/C24</f>
        <v>0.8</v>
      </c>
    </row>
    <row r="25" spans="1:17">
      <c r="B25" t="s">
        <v>12</v>
      </c>
      <c r="C25">
        <v>5</v>
      </c>
      <c r="D25">
        <v>4</v>
      </c>
      <c r="G25">
        <f>SUM(D25:F25)</f>
        <v>4</v>
      </c>
      <c r="Q25">
        <f>G25/C25</f>
        <v>0.8</v>
      </c>
    </row>
    <row r="26" spans="1:17">
      <c r="B26" t="s">
        <v>13</v>
      </c>
      <c r="C26">
        <v>5</v>
      </c>
      <c r="D26">
        <v>4</v>
      </c>
      <c r="G26">
        <f>SUM(D26:F26)</f>
        <v>4</v>
      </c>
      <c r="Q26">
        <f>G26/C26</f>
        <v>0.8</v>
      </c>
    </row>
    <row r="27" spans="1:17">
      <c r="B27" t="s">
        <v>14</v>
      </c>
      <c r="C27">
        <v>5</v>
      </c>
      <c r="D27">
        <v>4</v>
      </c>
      <c r="G27">
        <f>SUM(D27:F27)</f>
        <v>4</v>
      </c>
      <c r="Q27">
        <f>G27/C27</f>
        <v>0.8</v>
      </c>
    </row>
    <row r="28" spans="1:17">
      <c r="B28" t="s">
        <v>15</v>
      </c>
      <c r="C28">
        <v>5</v>
      </c>
      <c r="D28">
        <v>4</v>
      </c>
      <c r="G28">
        <f>SUM(D28:F28)</f>
        <v>4</v>
      </c>
      <c r="Q28">
        <f>G28/C28</f>
        <v>0.8</v>
      </c>
    </row>
    <row r="29" spans="1:17">
      <c r="B29" t="s">
        <v>16</v>
      </c>
      <c r="C29">
        <v>5</v>
      </c>
      <c r="D29">
        <v>4</v>
      </c>
      <c r="G29">
        <f>SUM(D29:F29)</f>
        <v>4</v>
      </c>
      <c r="Q29">
        <f>G29/C29</f>
        <v>0.8</v>
      </c>
    </row>
    <row r="30" spans="1:17">
      <c r="B30" t="s">
        <v>17</v>
      </c>
      <c r="C30">
        <v>5</v>
      </c>
      <c r="D30">
        <v>4</v>
      </c>
      <c r="G30">
        <f>SUM(D30:F30)</f>
        <v>4</v>
      </c>
      <c r="Q30">
        <f>G30/C30</f>
        <v>0.8</v>
      </c>
    </row>
    <row r="31" spans="1:17">
      <c r="B31" t="s">
        <v>18</v>
      </c>
      <c r="C31">
        <v>5</v>
      </c>
      <c r="D31">
        <v>4</v>
      </c>
      <c r="G31">
        <f>SUM(D31:F31)</f>
        <v>4</v>
      </c>
      <c r="Q31">
        <f>G31/C31</f>
        <v>0.8</v>
      </c>
    </row>
    <row r="32" spans="1:17">
      <c r="B32" t="s">
        <v>19</v>
      </c>
      <c r="C32">
        <v>5</v>
      </c>
      <c r="D32">
        <v>4</v>
      </c>
      <c r="G32">
        <f>SUM(D32:F32)</f>
        <v>4</v>
      </c>
      <c r="Q32">
        <f>G32/C32</f>
        <v>0.8</v>
      </c>
    </row>
    <row r="33" spans="1:17">
      <c r="B33" t="s">
        <v>20</v>
      </c>
      <c r="C33">
        <v>5</v>
      </c>
      <c r="D33">
        <v>4</v>
      </c>
      <c r="G33">
        <f>SUM(D33:F33)</f>
        <v>4</v>
      </c>
      <c r="Q33">
        <f>G33/C33</f>
        <v>0.8</v>
      </c>
    </row>
    <row r="34" spans="1:17">
      <c r="B34" t="s">
        <v>21</v>
      </c>
      <c r="C34">
        <v>5</v>
      </c>
      <c r="D34">
        <v>4</v>
      </c>
      <c r="G34">
        <f>SUM(D34:F34)</f>
        <v>4</v>
      </c>
      <c r="Q34">
        <f>G34/C34</f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Port26!S3</f>
        <v>100000</v>
      </c>
      <c r="R5">
        <v>203750</v>
      </c>
      <c r="S5">
        <f>R5-O5</f>
        <v>103750</v>
      </c>
      <c r="AB5">
        <v>300000</v>
      </c>
      <c r="AC5">
        <v>150000</v>
      </c>
      <c r="AD5">
        <v>25000</v>
      </c>
    </row>
    <row r="6" spans="1:30">
      <c r="O6">
        <f>Port26!S4</f>
        <v>100000</v>
      </c>
      <c r="R6">
        <v>100000</v>
      </c>
      <c r="S6">
        <f>R6-O6</f>
        <v>0</v>
      </c>
    </row>
    <row r="7" spans="1:30">
      <c r="O7">
        <f>Port26!S5</f>
        <v>100000</v>
      </c>
      <c r="R7">
        <v>100000</v>
      </c>
      <c r="S7">
        <f>R7-O7</f>
        <v>0</v>
      </c>
    </row>
    <row r="8" spans="1:30">
      <c r="O8">
        <f>Port26!S6</f>
        <v>100000</v>
      </c>
      <c r="R8">
        <v>100000</v>
      </c>
      <c r="S8">
        <f>R8-O8</f>
        <v>0</v>
      </c>
    </row>
    <row r="9" spans="1:30">
      <c r="O9">
        <f>Port26!S7</f>
        <v>100000</v>
      </c>
      <c r="R9">
        <v>100000</v>
      </c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500000</v>
      </c>
      <c r="R41">
        <f>SUM(R5:R39)</f>
        <v>603750</v>
      </c>
      <c r="S41">
        <f>SUM(S5:S39)</f>
        <v>103750</v>
      </c>
      <c r="AB41">
        <f>SUM(AB5:AB39)</f>
        <v>300000</v>
      </c>
      <c r="AC41">
        <f>SUM(AC5:AC39)</f>
        <v>150000</v>
      </c>
      <c r="AD41">
        <f>SUM(AD5:AD39)</f>
        <v>25000</v>
      </c>
    </row>
    <row r="42" spans="1:30">
      <c r="R42">
        <f>R41/$O$41</f>
        <v>1.2075</v>
      </c>
      <c r="S42">
        <f>S41/$O$41</f>
        <v>0.2075</v>
      </c>
    </row>
    <row r="76" spans="1:30">
      <c r="B76" t="s">
        <v>58</v>
      </c>
    </row>
    <row r="77" spans="1:30">
      <c r="B77" t="s">
        <v>59</v>
      </c>
      <c r="D77">
        <f>O41</f>
        <v>500000</v>
      </c>
    </row>
    <row r="78" spans="1:30">
      <c r="D78">
        <f>AB41</f>
        <v>300000</v>
      </c>
    </row>
    <row r="79" spans="1:30">
      <c r="D79">
        <f>AC41</f>
        <v>150000</v>
      </c>
    </row>
    <row r="80" spans="1:30">
      <c r="D80">
        <f>AD41</f>
        <v>25000</v>
      </c>
    </row>
    <row r="81" spans="1:30">
      <c r="D81">
        <f>SUM(D78:D80)</f>
        <v>475000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Port26!S8</f>
        <v>100000</v>
      </c>
      <c r="R5">
        <v>141980</v>
      </c>
      <c r="S5">
        <f>R5-O5</f>
        <v>41980</v>
      </c>
      <c r="AB5">
        <v>99990</v>
      </c>
      <c r="AC5">
        <v>100000</v>
      </c>
    </row>
    <row r="6" spans="1:30">
      <c r="O6">
        <f>Port26!S9</f>
        <v>100000</v>
      </c>
      <c r="R6">
        <v>100000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200000</v>
      </c>
      <c r="R41">
        <f>SUM(R5:R39)</f>
        <v>241980</v>
      </c>
      <c r="S41">
        <f>SUM(S5:S39)</f>
        <v>41980</v>
      </c>
      <c r="AB41">
        <f>SUM(AB5:AB39)</f>
        <v>99990</v>
      </c>
      <c r="AC41">
        <f>SUM(AC5:AC39)</f>
        <v>100000</v>
      </c>
      <c r="AD41">
        <f>SUM(AD5:AD39)</f>
        <v>0</v>
      </c>
    </row>
    <row r="42" spans="1:30">
      <c r="R42">
        <f>R41/$O$41</f>
        <v>1.2099</v>
      </c>
      <c r="S42">
        <f>S41/$O$41</f>
        <v>0.2099</v>
      </c>
    </row>
    <row r="76" spans="1:30">
      <c r="B76" t="s">
        <v>58</v>
      </c>
    </row>
    <row r="77" spans="1:30">
      <c r="B77" t="s">
        <v>59</v>
      </c>
      <c r="D77">
        <f>O41</f>
        <v>200000</v>
      </c>
    </row>
    <row r="78" spans="1:30">
      <c r="D78">
        <f>AB41</f>
        <v>99990</v>
      </c>
    </row>
    <row r="79" spans="1:30">
      <c r="D79">
        <f>AC41</f>
        <v>100000</v>
      </c>
    </row>
    <row r="80" spans="1:30">
      <c r="D80">
        <f>AD41</f>
        <v>0</v>
      </c>
    </row>
    <row r="81" spans="1:30">
      <c r="D81">
        <f>SUM(D78:D80)</f>
        <v>199990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Port26!S10</f>
        <v>50000</v>
      </c>
      <c r="R5">
        <v>70000</v>
      </c>
      <c r="S5">
        <f>R5-O5</f>
        <v>20000</v>
      </c>
      <c r="AB5">
        <v>60000</v>
      </c>
      <c r="AC5">
        <v>40000</v>
      </c>
    </row>
    <row r="6" spans="1:30">
      <c r="O6">
        <f>Port26!S11</f>
        <v>50000</v>
      </c>
      <c r="R6">
        <v>50000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100000</v>
      </c>
      <c r="R41">
        <f>SUM(R5:R39)</f>
        <v>120000</v>
      </c>
      <c r="S41">
        <f>SUM(S5:S39)</f>
        <v>20000</v>
      </c>
      <c r="AB41">
        <f>SUM(AB5:AB39)</f>
        <v>60000</v>
      </c>
      <c r="AC41">
        <f>SUM(AC5:AC39)</f>
        <v>40000</v>
      </c>
      <c r="AD41">
        <f>SUM(AD5:AD39)</f>
        <v>0</v>
      </c>
    </row>
    <row r="42" spans="1:30">
      <c r="R42">
        <f>R41/$O$41</f>
        <v>1.2</v>
      </c>
      <c r="S42">
        <f>S41/$O$41</f>
        <v>0.2</v>
      </c>
    </row>
    <row r="76" spans="1:30">
      <c r="B76" t="s">
        <v>58</v>
      </c>
    </row>
    <row r="77" spans="1:30">
      <c r="B77" t="s">
        <v>59</v>
      </c>
      <c r="D77">
        <f>O41</f>
        <v>100000</v>
      </c>
    </row>
    <row r="78" spans="1:30">
      <c r="D78">
        <f>AB41</f>
        <v>60000</v>
      </c>
    </row>
    <row r="79" spans="1:30">
      <c r="D79">
        <f>AC41</f>
        <v>40000</v>
      </c>
    </row>
    <row r="80" spans="1:30">
      <c r="D80">
        <f>AD41</f>
        <v>0</v>
      </c>
    </row>
    <row r="81" spans="1:30">
      <c r="D81">
        <f>SUM(D78:D80)</f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Port26!S12</f>
        <v>150000</v>
      </c>
      <c r="R5">
        <v>196470</v>
      </c>
      <c r="S5">
        <f>R5-O5</f>
        <v>46470</v>
      </c>
      <c r="AB5">
        <v>200000</v>
      </c>
      <c r="AC5">
        <v>100000</v>
      </c>
      <c r="AD5">
        <v>30000</v>
      </c>
    </row>
    <row r="6" spans="1:30">
      <c r="O6">
        <f>Port26!S13</f>
        <v>150000</v>
      </c>
      <c r="R6">
        <v>150000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300000</v>
      </c>
      <c r="R41">
        <f>SUM(R5:R39)</f>
        <v>346470</v>
      </c>
      <c r="S41">
        <f>SUM(S5:S39)</f>
        <v>46470</v>
      </c>
      <c r="AB41">
        <f>SUM(AB5:AB39)</f>
        <v>200000</v>
      </c>
      <c r="AC41">
        <f>SUM(AC5:AC39)</f>
        <v>100000</v>
      </c>
      <c r="AD41">
        <f>SUM(AD5:AD39)</f>
        <v>30000</v>
      </c>
    </row>
    <row r="42" spans="1:30">
      <c r="R42">
        <f>R41/$O$41</f>
        <v>1.1549</v>
      </c>
      <c r="S42">
        <f>S41/$O$41</f>
        <v>0.1549</v>
      </c>
    </row>
    <row r="76" spans="1:30">
      <c r="B76" t="s">
        <v>58</v>
      </c>
    </row>
    <row r="77" spans="1:30">
      <c r="B77" t="s">
        <v>59</v>
      </c>
      <c r="D77">
        <f>O41</f>
        <v>300000</v>
      </c>
    </row>
    <row r="78" spans="1:30">
      <c r="D78">
        <f>AB41</f>
        <v>200000</v>
      </c>
    </row>
    <row r="79" spans="1:30">
      <c r="D79">
        <f>AC41</f>
        <v>100000</v>
      </c>
    </row>
    <row r="80" spans="1:30">
      <c r="D80">
        <f>AD41</f>
        <v>30000</v>
      </c>
    </row>
    <row r="81" spans="1:30">
      <c r="D81">
        <f>SUM(D78:D80)</f>
        <v>330000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Port26!S14</f>
        <v>200000</v>
      </c>
      <c r="R5">
        <v>229960</v>
      </c>
      <c r="S5">
        <f>R5-O5</f>
        <v>29960</v>
      </c>
      <c r="AB5">
        <v>300000</v>
      </c>
      <c r="AC5">
        <v>40000</v>
      </c>
    </row>
    <row r="6" spans="1:30">
      <c r="O6">
        <f>Port26!S15</f>
        <v>200000</v>
      </c>
      <c r="R6">
        <v>200000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400000</v>
      </c>
      <c r="R41">
        <f>SUM(R5:R39)</f>
        <v>429960</v>
      </c>
      <c r="S41">
        <f>SUM(S5:S39)</f>
        <v>29960</v>
      </c>
      <c r="AB41">
        <f>SUM(AB5:AB39)</f>
        <v>300000</v>
      </c>
      <c r="AC41">
        <f>SUM(AC5:AC39)</f>
        <v>40000</v>
      </c>
      <c r="AD41">
        <f>SUM(AD5:AD39)</f>
        <v>0</v>
      </c>
    </row>
    <row r="42" spans="1:30">
      <c r="R42">
        <f>R41/$O$41</f>
        <v>1.0749</v>
      </c>
      <c r="S42">
        <f>S41/$O$41</f>
        <v>0.0749</v>
      </c>
    </row>
    <row r="76" spans="1:30">
      <c r="B76" t="s">
        <v>58</v>
      </c>
    </row>
    <row r="77" spans="1:30">
      <c r="B77" t="s">
        <v>59</v>
      </c>
      <c r="D77">
        <f>O41</f>
        <v>400000</v>
      </c>
    </row>
    <row r="78" spans="1:30">
      <c r="D78">
        <f>AB41</f>
        <v>300000</v>
      </c>
    </row>
    <row r="79" spans="1:30">
      <c r="D79">
        <f>AC41</f>
        <v>40000</v>
      </c>
    </row>
    <row r="80" spans="1:30">
      <c r="D80">
        <f>AD41</f>
        <v>0</v>
      </c>
    </row>
    <row r="81" spans="1:30">
      <c r="D81">
        <f>SUM(D78:D80)</f>
        <v>340000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Port26!S16</f>
        <v>125000</v>
      </c>
      <c r="R5">
        <v>267500</v>
      </c>
      <c r="S5">
        <f>R5-O5</f>
        <v>142500</v>
      </c>
      <c r="AB5">
        <v>50000</v>
      </c>
      <c r="AC5">
        <v>50000</v>
      </c>
    </row>
    <row r="6" spans="1:30">
      <c r="O6">
        <f>Port26!S17</f>
        <v>125000</v>
      </c>
      <c r="R6">
        <v>125000</v>
      </c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40" spans="1:30">
      <c r="O40">
        <f>SUM(O5:O38)</f>
        <v>250000</v>
      </c>
      <c r="R40">
        <f>SUM(R5:R38)</f>
        <v>392500</v>
      </c>
      <c r="S40">
        <f>SUM(S5:S38)</f>
        <v>142500</v>
      </c>
      <c r="AB40">
        <f>SUM(AB5:AB38)</f>
        <v>50000</v>
      </c>
      <c r="AC40">
        <f>SUM(AC5:AC38)</f>
        <v>50000</v>
      </c>
      <c r="AD40">
        <f>SUM(AD5:AD38)</f>
        <v>0</v>
      </c>
    </row>
    <row r="41" spans="1:30">
      <c r="R41">
        <f>R40/$O$40</f>
        <v>1.57</v>
      </c>
      <c r="S41">
        <f>S40/$O$40</f>
        <v>0.57</v>
      </c>
    </row>
    <row r="75" spans="1:30">
      <c r="B75" t="s">
        <v>58</v>
      </c>
    </row>
    <row r="76" spans="1:30">
      <c r="B76" t="s">
        <v>59</v>
      </c>
      <c r="D76">
        <f>O40</f>
        <v>250000</v>
      </c>
    </row>
    <row r="77" spans="1:30">
      <c r="D77">
        <f>AB40</f>
        <v>50000</v>
      </c>
    </row>
    <row r="78" spans="1:30">
      <c r="D78">
        <f>AC40</f>
        <v>50000</v>
      </c>
    </row>
    <row r="79" spans="1:30">
      <c r="D79">
        <f>AD40</f>
        <v>0</v>
      </c>
    </row>
    <row r="80" spans="1:30">
      <c r="D80">
        <f>SUM(D77:D79)</f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O5">
        <f>Port26!S18</f>
        <v>100000</v>
      </c>
      <c r="S5">
        <f>R5-O5</f>
        <v>-100000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100000</v>
      </c>
      <c r="R41">
        <f>SUM(R5:R39)</f>
        <v>0</v>
      </c>
      <c r="S41">
        <f>SUM(S5:S39)</f>
        <v>-100000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>
        <f>R41/$O$41</f>
        <v>0</v>
      </c>
      <c r="S42">
        <f>S41/$O$41</f>
        <v>-1</v>
      </c>
    </row>
    <row r="76" spans="1:30">
      <c r="B76" t="s">
        <v>58</v>
      </c>
    </row>
    <row r="77" spans="1:30">
      <c r="B77" t="s">
        <v>59</v>
      </c>
      <c r="D77">
        <f>O41</f>
        <v>100000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0">
      <c r="A3" t="s">
        <v>56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AB3" t="s">
        <v>49</v>
      </c>
      <c r="AC3" t="s">
        <v>50</v>
      </c>
      <c r="AD3" t="s">
        <v>51</v>
      </c>
    </row>
    <row r="5" spans="1:30">
      <c r="S5">
        <f>R5-O5</f>
        <v>0</v>
      </c>
    </row>
    <row r="6" spans="1:30">
      <c r="S6">
        <f>R6-O6</f>
        <v>0</v>
      </c>
    </row>
    <row r="7" spans="1:30">
      <c r="S7">
        <f>R7-O7</f>
        <v>0</v>
      </c>
    </row>
    <row r="8" spans="1:30">
      <c r="S8">
        <f>R8-O8</f>
        <v>0</v>
      </c>
    </row>
    <row r="9" spans="1:30">
      <c r="S9">
        <f>R9-O9</f>
        <v>0</v>
      </c>
    </row>
    <row r="10" spans="1:30">
      <c r="S10">
        <f>R10-O10</f>
        <v>0</v>
      </c>
    </row>
    <row r="11" spans="1:30">
      <c r="S11">
        <f>R11-O11</f>
        <v>0</v>
      </c>
    </row>
    <row r="12" spans="1:30">
      <c r="S12">
        <f>R12-O12</f>
        <v>0</v>
      </c>
    </row>
    <row r="13" spans="1:30">
      <c r="S13">
        <f>R13-O13</f>
        <v>0</v>
      </c>
    </row>
    <row r="14" spans="1:30">
      <c r="S14">
        <f>R14-O14</f>
        <v>0</v>
      </c>
    </row>
    <row r="15" spans="1:30">
      <c r="S15">
        <f>R15-O15</f>
        <v>0</v>
      </c>
    </row>
    <row r="16" spans="1:30">
      <c r="S16">
        <f>R16-O16</f>
        <v>0</v>
      </c>
    </row>
    <row r="17" spans="1:30">
      <c r="S17">
        <f>R17-O17</f>
        <v>0</v>
      </c>
    </row>
    <row r="18" spans="1:30">
      <c r="S18">
        <f>R18-O18</f>
        <v>0</v>
      </c>
    </row>
    <row r="19" spans="1:30">
      <c r="S19">
        <f>R19-O19</f>
        <v>0</v>
      </c>
    </row>
    <row r="20" spans="1:30">
      <c r="S20">
        <f>R20-O20</f>
        <v>0</v>
      </c>
    </row>
    <row r="21" spans="1:30">
      <c r="S21">
        <f>R21-O21</f>
        <v>0</v>
      </c>
    </row>
    <row r="22" spans="1:30">
      <c r="S22">
        <f>R22-O22</f>
        <v>0</v>
      </c>
    </row>
    <row r="23" spans="1:30">
      <c r="S23">
        <f>R23-O23</f>
        <v>0</v>
      </c>
    </row>
    <row r="24" spans="1:30">
      <c r="S24">
        <f>R24-O24</f>
        <v>0</v>
      </c>
    </row>
    <row r="25" spans="1:30">
      <c r="S25">
        <f>R25-O25</f>
        <v>0</v>
      </c>
    </row>
    <row r="26" spans="1:30">
      <c r="S26">
        <f>R26-O26</f>
        <v>0</v>
      </c>
    </row>
    <row r="27" spans="1:30">
      <c r="S27">
        <f>R27-O27</f>
        <v>0</v>
      </c>
    </row>
    <row r="28" spans="1:30">
      <c r="S28">
        <f>R28-O28</f>
        <v>0</v>
      </c>
    </row>
    <row r="29" spans="1:30">
      <c r="S29">
        <f>R29-O29</f>
        <v>0</v>
      </c>
    </row>
    <row r="30" spans="1:30">
      <c r="S30">
        <f>R30-O30</f>
        <v>0</v>
      </c>
    </row>
    <row r="31" spans="1:30">
      <c r="S31">
        <f>R31-O31</f>
        <v>0</v>
      </c>
    </row>
    <row r="32" spans="1:30">
      <c r="S32">
        <f>R32-O32</f>
        <v>0</v>
      </c>
    </row>
    <row r="33" spans="1:30">
      <c r="S33">
        <f>R33-O33</f>
        <v>0</v>
      </c>
    </row>
    <row r="34" spans="1:30">
      <c r="S34">
        <f>R34-O34</f>
        <v>0</v>
      </c>
    </row>
    <row r="35" spans="1:30">
      <c r="S35">
        <f>R35-O35</f>
        <v>0</v>
      </c>
    </row>
    <row r="36" spans="1:30">
      <c r="S36">
        <f>R36-O36</f>
        <v>0</v>
      </c>
    </row>
    <row r="37" spans="1:30">
      <c r="S37">
        <f>R37-O37</f>
        <v>0</v>
      </c>
    </row>
    <row r="38" spans="1:30">
      <c r="S38">
        <f>R38-O38</f>
        <v>0</v>
      </c>
    </row>
    <row r="39" spans="1:30">
      <c r="S39">
        <f>R39-O39</f>
        <v>0</v>
      </c>
    </row>
    <row r="41" spans="1:30">
      <c r="O41">
        <f>SUM(O5:O39)</f>
        <v>0</v>
      </c>
      <c r="R41">
        <f>SUM(R5:R39)</f>
        <v>0</v>
      </c>
      <c r="S41">
        <f>SUM(S5:S39)</f>
        <v>0</v>
      </c>
      <c r="AB41">
        <f>SUM(AB5:AB39)</f>
        <v>0</v>
      </c>
      <c r="AC41">
        <f>SUM(AC5:AC39)</f>
        <v>0</v>
      </c>
      <c r="AD41">
        <f>SUM(AD5:AD39)</f>
        <v>0</v>
      </c>
    </row>
    <row r="42" spans="1:30">
      <c r="R42" t="e">
        <f>R41/$O$41</f>
        <v>#DIV/0!</v>
      </c>
      <c r="S42" t="e">
        <f>S41/$O$41</f>
        <v>#DIV/0!</v>
      </c>
    </row>
    <row r="76" spans="1:30">
      <c r="B76" t="s">
        <v>58</v>
      </c>
    </row>
    <row r="77" spans="1:30">
      <c r="B77" t="s">
        <v>59</v>
      </c>
      <c r="D77">
        <f>O41</f>
        <v>0</v>
      </c>
    </row>
    <row r="78" spans="1:30">
      <c r="D78">
        <f>AB41</f>
        <v>0</v>
      </c>
    </row>
    <row r="79" spans="1:30">
      <c r="D79">
        <f>AC41</f>
        <v>0</v>
      </c>
    </row>
    <row r="80" spans="1:30">
      <c r="D80">
        <f>AD41</f>
        <v>0</v>
      </c>
    </row>
    <row r="81" spans="1:30">
      <c r="D81">
        <f>SUM(D78:D80)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9">
      <c r="A2" t="s">
        <v>64</v>
      </c>
      <c r="C2" t="s">
        <v>65</v>
      </c>
      <c r="K2" t="s">
        <v>66</v>
      </c>
      <c r="S2" t="s">
        <v>67</v>
      </c>
    </row>
    <row r="3" spans="1:19">
      <c r="K3" t="s">
        <v>68</v>
      </c>
      <c r="S3">
        <v>100000</v>
      </c>
    </row>
    <row r="4" spans="1:19">
      <c r="K4" t="s">
        <v>68</v>
      </c>
      <c r="S4">
        <v>100000</v>
      </c>
    </row>
    <row r="5" spans="1:19">
      <c r="K5" t="s">
        <v>68</v>
      </c>
      <c r="S5">
        <v>100000</v>
      </c>
    </row>
    <row r="6" spans="1:19">
      <c r="K6" t="s">
        <v>68</v>
      </c>
      <c r="S6">
        <v>100000</v>
      </c>
    </row>
    <row r="7" spans="1:19">
      <c r="K7" t="s">
        <v>68</v>
      </c>
      <c r="S7">
        <v>100000</v>
      </c>
    </row>
    <row r="8" spans="1:19">
      <c r="K8" t="s">
        <v>68</v>
      </c>
      <c r="S8">
        <v>100000</v>
      </c>
    </row>
    <row r="9" spans="1:19">
      <c r="K9" t="s">
        <v>68</v>
      </c>
      <c r="S9">
        <v>100000</v>
      </c>
    </row>
    <row r="10" spans="1:19">
      <c r="K10" t="s">
        <v>68</v>
      </c>
      <c r="S10">
        <v>50000</v>
      </c>
    </row>
    <row r="11" spans="1:19">
      <c r="K11" t="s">
        <v>68</v>
      </c>
      <c r="S11">
        <v>50000</v>
      </c>
    </row>
    <row r="12" spans="1:19">
      <c r="K12" t="s">
        <v>68</v>
      </c>
      <c r="S12">
        <v>150000</v>
      </c>
    </row>
    <row r="13" spans="1:19">
      <c r="K13" t="s">
        <v>68</v>
      </c>
      <c r="S13">
        <v>150000</v>
      </c>
    </row>
    <row r="14" spans="1:19">
      <c r="K14" t="s">
        <v>68</v>
      </c>
      <c r="S14">
        <v>200000</v>
      </c>
    </row>
    <row r="15" spans="1:19">
      <c r="K15" t="s">
        <v>68</v>
      </c>
      <c r="S15">
        <v>200000</v>
      </c>
    </row>
    <row r="16" spans="1:19">
      <c r="K16" t="s">
        <v>68</v>
      </c>
      <c r="S16">
        <v>125000</v>
      </c>
    </row>
    <row r="17" spans="1:19">
      <c r="K17" t="s">
        <v>68</v>
      </c>
      <c r="S17">
        <v>125000</v>
      </c>
    </row>
    <row r="18" spans="1:19">
      <c r="K18" t="s">
        <v>68</v>
      </c>
      <c r="S18">
        <v>100000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jd</vt:lpstr>
      <vt:lpstr>KPI AM</vt:lpstr>
      <vt:lpstr>แผนการตรวจเยี่ยม</vt:lpstr>
      <vt:lpstr>สรุปทั้งปี69</vt:lpstr>
      <vt:lpstr>ม.ค.69</vt:lpstr>
      <vt:lpstr>ก.พ.69</vt:lpstr>
      <vt:lpstr>มี.ค.69</vt:lpstr>
      <vt:lpstr>เม.ษ.69</vt:lpstr>
      <vt:lpstr>พ.ค.69</vt:lpstr>
      <vt:lpstr>มิ.ย.69</vt:lpstr>
      <vt:lpstr>ก.ค.69</vt:lpstr>
      <vt:lpstr>ส.ค.69 </vt:lpstr>
      <vt:lpstr>ก.ย.69</vt:lpstr>
      <vt:lpstr>ต.ค.69</vt:lpstr>
      <vt:lpstr>พ.ย.69</vt:lpstr>
      <vt:lpstr>ธ.ค.69</vt:lpstr>
      <vt:lpstr>Port26</vt:lpstr>
      <vt:lpstr>TOP20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2026-10-19T03:15:08+02:00</dcterms:created>
  <dcterms:modified xsi:type="dcterms:W3CDTF">2026-10-19T03:15:08+02:00</dcterms:modified>
  <dc:title>Untitled Spreadsheet</dc:title>
  <dc:description/>
  <dc:subject/>
  <cp:keywords/>
  <cp:category/>
</cp:coreProperties>
</file>